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OM" sheetId="1" r:id="rId1"/>
    <sheet name="Budget" sheetId="2" r:id="rId2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s="1" t="inlineStr">
        <is>
          <t xml:space="preserve">Section</t>
        </is>
      </c>
      <c r="B1" s="1" t="inlineStr">
        <is>
          <t xml:space="preserve">Reference</t>
        </is>
      </c>
      <c r="C1" s="1" t="inlineStr">
        <is>
          <t xml:space="preserve">Category</t>
        </is>
      </c>
      <c r="D1" s="1" t="inlineStr">
        <is>
          <t xml:space="preserve">Qty</t>
        </is>
      </c>
      <c r="E1" s="1" t="inlineStr">
        <is>
          <t xml:space="preserve">Value</t>
        </is>
      </c>
      <c r="F1" s="1" t="inlineStr">
        <is>
          <t xml:space="preserve">Footprint</t>
        </is>
      </c>
      <c r="G1" s="1" t="inlineStr">
        <is>
          <t xml:space="preserve">Unit_Weight_g</t>
        </is>
      </c>
      <c r="H1" s="1" t="inlineStr">
        <is>
          <t xml:space="preserve">Total_Weight_g</t>
        </is>
      </c>
      <c r="I1" s="1" t="inlineStr">
        <is>
          <t xml:space="preserve">Weight_Source</t>
        </is>
      </c>
      <c r="J1" s="1" t="inlineStr">
        <is>
          <t xml:space="preserve">Robu_SKU</t>
        </is>
      </c>
      <c r="K1" s="1" t="inlineStr">
        <is>
          <t xml:space="preserve">Unit_Price_INR</t>
        </is>
      </c>
      <c r="L1" s="1" t="inlineStr">
        <is>
          <t xml:space="preserve">Availability</t>
        </is>
      </c>
      <c r="M1" s="1" t="inlineStr">
        <is>
          <t xml:space="preserve">Datasheet</t>
        </is>
      </c>
      <c r="N1" s="1" t="inlineStr">
        <is>
          <t xml:space="preserve">Notes</t>
        </is>
      </c>
    </row>
    <row r="2">
      <c r="A2" t="inlineStr">
        <is>
          <t xml:space="preserve">COMPONENT</t>
        </is>
      </c>
      <c r="B2" t="inlineStr">
        <is>
          <t xml:space="preserve">BZ1</t>
        </is>
      </c>
      <c r="C2" t="inlineStr">
        <is>
          <t xml:space="preserve">Buzzer</t>
        </is>
      </c>
      <c r="D2" t="inlineStr">
        <is>
          <t xml:space="preserve">1</t>
        </is>
      </c>
      <c r="E2" t="inlineStr">
        <is>
          <t xml:space="preserve">Buzzer</t>
        </is>
      </c>
      <c r="F2" t="inlineStr">
        <is>
          <t xml:space="preserve">Buzzer_5020 (5x2mm SMD)</t>
        </is>
      </c>
      <c r="G2" t="inlineStr">
        <is>
          <t xml:space="preserve">0.15</t>
        </is>
      </c>
      <c r="H2" t="inlineStr">
        <is>
          <t xml:space="preserve">0.15</t>
        </is>
      </c>
      <c r="I2" t="inlineStr">
        <is>
          <t xml:space="preserve">typical 5x2mm SMD magnetic buzzer</t>
        </is>
      </c>
      <c r="J2" t="inlineStr">
        <is>
          <t xml:space="preserve">R179638</t>
        </is>
      </c>
      <c r="K2" t="inlineStr">
        <is>
          <t xml:space="preserve">41.00</t>
        </is>
      </c>
      <c r="L2" t="inlineStr">
        <is>
          <t xml:space="preserve">In Stock</t>
        </is>
      </c>
      <c r="M2" t="inlineStr">
        <is>
          <t xml:space="preserve">https://robu-prod-media.s3.ap-south-1.amazonaws.com/uploads/2024/11/buzzer-datasheet.pdf</t>
        </is>
      </c>
      <c r="N2"/>
    </row>
    <row r="3">
      <c r="A3" t="inlineStr">
        <is>
          <t xml:space="preserve">COMPONENT</t>
        </is>
      </c>
      <c r="B3" t="inlineStr">
        <is>
          <t xml:space="preserve">C1,C2,C3,C4</t>
        </is>
      </c>
      <c r="C3" t="inlineStr">
        <is>
          <t xml:space="preserve">Capacitor</t>
        </is>
      </c>
      <c r="D3" t="inlineStr">
        <is>
          <t xml:space="preserve">4</t>
        </is>
      </c>
      <c r="E3" t="inlineStr">
        <is>
          <t xml:space="preserve">10n</t>
        </is>
      </c>
      <c r="F3" t="inlineStr">
        <is>
          <t xml:space="preserve">0603 MLCC</t>
        </is>
      </c>
      <c r="G3" t="inlineStr">
        <is>
          <t xml:space="preserve">0.004</t>
        </is>
      </c>
      <c r="H3" t="inlineStr">
        <is>
          <t xml:space="preserve">0.016</t>
        </is>
      </c>
      <c r="I3" t="inlineStr">
        <is>
          <t xml:space="preserve">typical 0603 MLCC</t>
        </is>
      </c>
      <c r="J3" t="inlineStr">
        <is>
          <t xml:space="preserve">594976</t>
        </is>
      </c>
      <c r="K3" t="inlineStr">
        <is>
          <t xml:space="preserve">0.72</t>
        </is>
      </c>
      <c r="L3" t="inlineStr">
        <is>
          <t xml:space="preserve">In Stock</t>
        </is>
      </c>
      <c r="M3"/>
      <c r="N3" t="inlineStr">
        <is>
          <t xml:space="preserve">Generic 10nF 0603 pack; no brand datasheet</t>
        </is>
      </c>
    </row>
    <row r="4">
      <c r="A4" t="inlineStr">
        <is>
          <t xml:space="preserve">COMPONENT</t>
        </is>
      </c>
      <c r="B4" t="inlineStr">
        <is>
          <t xml:space="preserve">D1,D2,D3,D4</t>
        </is>
      </c>
      <c r="C4" t="inlineStr">
        <is>
          <t xml:space="preserve">Diode</t>
        </is>
      </c>
      <c r="D4" t="inlineStr">
        <is>
          <t xml:space="preserve">4</t>
        </is>
      </c>
      <c r="E4" t="inlineStr">
        <is>
          <t xml:space="preserve">SS24L</t>
        </is>
      </c>
      <c r="F4" t="inlineStr">
        <is>
          <t xml:space="preserve">SOD-123F</t>
        </is>
      </c>
      <c r="G4" t="inlineStr">
        <is>
          <t xml:space="preserve">0.012</t>
        </is>
      </c>
      <c r="H4" t="inlineStr">
        <is>
          <t xml:space="preserve">0.048</t>
        </is>
      </c>
      <c r="I4" t="inlineStr">
        <is>
          <t xml:space="preserve">computed from SOD-123FL body x mold density</t>
        </is>
      </c>
      <c r="J4" t="inlineStr">
        <is>
          <t xml:space="preserve">R194451</t>
        </is>
      </c>
      <c r="K4" t="inlineStr">
        <is>
          <t xml:space="preserve">3.46</t>
        </is>
      </c>
      <c r="L4" t="inlineStr">
        <is>
          <t xml:space="preserve">In Stock</t>
        </is>
      </c>
      <c r="M4" t="inlineStr">
        <is>
          <t xml:space="preserve">https://robu-prod-media.s3.ap-south-1.amazonaws.com/uploads/2024/12/C489144.pdf</t>
        </is>
      </c>
      <c r="N4" t="inlineStr">
        <is>
          <t xml:space="preserve">Bought part is SS24FL</t>
        </is>
      </c>
    </row>
    <row r="5">
      <c r="A5" t="inlineStr">
        <is>
          <t xml:space="preserve">COMPONENT</t>
        </is>
      </c>
      <c r="B5" t="inlineStr">
        <is>
          <t xml:space="preserve">D5</t>
        </is>
      </c>
      <c r="C5" t="inlineStr">
        <is>
          <t xml:space="preserve">Diode</t>
        </is>
      </c>
      <c r="D5" t="inlineStr">
        <is>
          <t xml:space="preserve">1</t>
        </is>
      </c>
      <c r="E5" t="inlineStr">
        <is>
          <t xml:space="preserve">1N4148W</t>
        </is>
      </c>
      <c r="F5" t="inlineStr">
        <is>
          <t xml:space="preserve">SOD-123</t>
        </is>
      </c>
      <c r="G5" t="inlineStr">
        <is>
          <t xml:space="preserve">0.01</t>
        </is>
      </c>
      <c r="H5" t="inlineStr">
        <is>
          <t xml:space="preserve">0.01</t>
        </is>
      </c>
      <c r="I5" t="inlineStr">
        <is>
          <t xml:space="preserve">Diodes Inc datasheet (0.01 g)</t>
        </is>
      </c>
      <c r="J5" t="inlineStr">
        <is>
          <t xml:space="preserve">R242981</t>
        </is>
      </c>
      <c r="K5" t="inlineStr">
        <is>
          <t xml:space="preserve">2.56</t>
        </is>
      </c>
      <c r="L5" t="inlineStr">
        <is>
          <t xml:space="preserve">In Stock</t>
        </is>
      </c>
      <c r="M5" t="inlineStr">
        <is>
          <t xml:space="preserve">https://robu-prod-media.s3.ap-south-1.amazonaws.com/uploads/2025/08/C83528.pdf</t>
        </is>
      </c>
      <c r="N5"/>
    </row>
    <row r="6">
      <c r="A6" t="inlineStr">
        <is>
          <t xml:space="preserve">COMPONENT</t>
        </is>
      </c>
      <c r="B6" t="inlineStr">
        <is>
          <t xml:space="preserve">J1</t>
        </is>
      </c>
      <c r="C6" t="inlineStr">
        <is>
          <t xml:space="preserve">Connector</t>
        </is>
      </c>
      <c r="D6" t="inlineStr">
        <is>
          <t xml:space="preserve">1</t>
        </is>
      </c>
      <c r="E6" t="inlineStr">
        <is>
          <t xml:space="preserve">Conn_01x04_Socket</t>
        </is>
      </c>
      <c r="F6" t="inlineStr">
        <is>
          <t xml:space="preserve">PinHeader 1x04 P2.54mm (DNP)</t>
        </is>
      </c>
      <c r="G6" t="inlineStr">
        <is>
          <t xml:space="preserve">0.6</t>
        </is>
      </c>
      <c r="H6" t="inlineStr">
        <is>
          <t xml:space="preserve">0.6</t>
        </is>
      </c>
      <c r="I6" t="inlineStr">
        <is>
          <t xml:space="preserve">typical 1x4 2.54mm pin header</t>
        </is>
      </c>
      <c r="J6" t="inlineStr">
        <is>
          <t xml:space="preserve">R197649</t>
        </is>
      </c>
      <c r="K6" t="inlineStr">
        <is>
          <t xml:space="preserve">3.31</t>
        </is>
      </c>
      <c r="L6" t="inlineStr">
        <is>
          <t xml:space="preserve">In Stock</t>
        </is>
      </c>
      <c r="M6" t="inlineStr">
        <is>
          <t xml:space="preserve">https://robu-prod-media.s3.ap-south-1.amazonaws.com/uploads/2025/04/DS1021.pdf</t>
        </is>
      </c>
      <c r="N6" t="inlineStr">
        <is>
          <t xml:space="preserve">DNP - not populated, excluded from AUW</t>
        </is>
      </c>
    </row>
    <row r="7">
      <c r="A7" t="inlineStr">
        <is>
          <t xml:space="preserve">COMPONENT</t>
        </is>
      </c>
      <c r="B7" t="inlineStr">
        <is>
          <t xml:space="preserve">J2,J3,J4,J5,J6,J7,J8,J9,J10,J11</t>
        </is>
      </c>
      <c r="C7" t="inlineStr">
        <is>
          <t xml:space="preserve">SolderPad</t>
        </is>
      </c>
      <c r="D7" t="inlineStr">
        <is>
          <t xml:space="preserve">10</t>
        </is>
      </c>
      <c r="E7" t="inlineStr">
        <is>
          <t xml:space="preserve">Conn_01x01_Socket</t>
        </is>
      </c>
      <c r="F7" t="inlineStr">
        <is>
          <t xml:space="preserve">SolderWirePad 1x01 SMD 1x2mm</t>
        </is>
      </c>
      <c r="G7" t="inlineStr">
        <is>
          <t xml:space="preserve">0.0</t>
        </is>
      </c>
      <c r="H7" t="inlineStr">
        <is>
          <t xml:space="preserve">0.0</t>
        </is>
      </c>
      <c r="I7" t="inlineStr">
        <is>
          <t xml:space="preserve">bare PCB copper, no component</t>
        </is>
      </c>
      <c r="J7"/>
      <c r="K7"/>
      <c r="L7" t="inlineStr">
        <is>
          <t xml:space="preserve">n/a</t>
        </is>
      </c>
      <c r="M7"/>
      <c r="N7"/>
    </row>
    <row r="8">
      <c r="A8" t="inlineStr">
        <is>
          <t xml:space="preserve">COMPONENT</t>
        </is>
      </c>
      <c r="B8" t="inlineStr">
        <is>
          <t xml:space="preserve">Q1,Q2,Q3,Q4,Q5</t>
        </is>
      </c>
      <c r="C8" t="inlineStr">
        <is>
          <t xml:space="preserve">MOSFET</t>
        </is>
      </c>
      <c r="D8" t="inlineStr">
        <is>
          <t xml:space="preserve">5</t>
        </is>
      </c>
      <c r="E8" t="inlineStr">
        <is>
          <t xml:space="preserve">DMN2058U</t>
        </is>
      </c>
      <c r="F8" t="inlineStr">
        <is>
          <t xml:space="preserve">SOT-23</t>
        </is>
      </c>
      <c r="G8" t="inlineStr">
        <is>
          <t xml:space="preserve">0.009</t>
        </is>
      </c>
      <c r="H8" t="inlineStr">
        <is>
          <t xml:space="preserve">0.045</t>
        </is>
      </c>
      <c r="I8" t="inlineStr">
        <is>
          <t xml:space="preserve">Diodes Inc datasheet (0.009 g)</t>
        </is>
      </c>
      <c r="J8" t="inlineStr">
        <is>
          <t xml:space="preserve">R246407</t>
        </is>
      </c>
      <c r="K8" t="inlineStr">
        <is>
          <t xml:space="preserve">10.00</t>
        </is>
      </c>
      <c r="L8" t="inlineStr">
        <is>
          <t xml:space="preserve">In Stock</t>
        </is>
      </c>
      <c r="M8" t="inlineStr">
        <is>
          <t xml:space="preserve">https://robu-prod-media.s3.ap-south-1.amazonaws.com/uploads/2025/08/C5245280.pdf</t>
        </is>
      </c>
      <c r="N8"/>
    </row>
    <row r="9">
      <c r="A9" t="inlineStr">
        <is>
          <t xml:space="preserve">COMPONENT</t>
        </is>
      </c>
      <c r="B9" t="inlineStr">
        <is>
          <t xml:space="preserve">R1,R4,R6,R8,R10</t>
        </is>
      </c>
      <c r="C9" t="inlineStr">
        <is>
          <t xml:space="preserve">Resistor</t>
        </is>
      </c>
      <c r="D9" t="inlineStr">
        <is>
          <t xml:space="preserve">5</t>
        </is>
      </c>
      <c r="E9" t="inlineStr">
        <is>
          <t xml:space="preserve">10k</t>
        </is>
      </c>
      <c r="F9" t="inlineStr">
        <is>
          <t xml:space="preserve">0603</t>
        </is>
      </c>
      <c r="G9" t="inlineStr">
        <is>
          <t xml:space="preserve">0.002</t>
        </is>
      </c>
      <c r="H9" t="inlineStr">
        <is>
          <t xml:space="preserve">0.01</t>
        </is>
      </c>
      <c r="I9" t="inlineStr">
        <is>
          <t xml:space="preserve">Vishay CRCW0603 MASS = 2 mg</t>
        </is>
      </c>
      <c r="J9" t="inlineStr">
        <is>
          <t xml:space="preserve">R232165</t>
        </is>
      </c>
      <c r="K9" t="inlineStr">
        <is>
          <t xml:space="preserve">0.83</t>
        </is>
      </c>
      <c r="L9" t="inlineStr">
        <is>
          <t xml:space="preserve">In Stock</t>
        </is>
      </c>
      <c r="M9" t="inlineStr">
        <is>
          <t xml:space="preserve">https://robu-prod-media.s3.ap-south-1.amazonaws.com/uploads/2025/07/2506161050_YAGEO-RC0402FR-07220RP_C7038454.pdf</t>
        </is>
      </c>
      <c r="N9"/>
    </row>
    <row r="10">
      <c r="A10" t="inlineStr">
        <is>
          <t xml:space="preserve">COMPONENT</t>
        </is>
      </c>
      <c r="B10" t="inlineStr">
        <is>
          <t xml:space="preserve">R2,R3,R5,R7</t>
        </is>
      </c>
      <c r="C10" t="inlineStr">
        <is>
          <t xml:space="preserve">Resistor</t>
        </is>
      </c>
      <c r="D10" t="inlineStr">
        <is>
          <t xml:space="preserve">4</t>
        </is>
      </c>
      <c r="E10" t="inlineStr">
        <is>
          <t xml:space="preserve">10</t>
        </is>
      </c>
      <c r="F10" t="inlineStr">
        <is>
          <t xml:space="preserve">0603</t>
        </is>
      </c>
      <c r="G10" t="inlineStr">
        <is>
          <t xml:space="preserve">0.002</t>
        </is>
      </c>
      <c r="H10" t="inlineStr">
        <is>
          <t xml:space="preserve">0.008</t>
        </is>
      </c>
      <c r="I10" t="inlineStr">
        <is>
          <t xml:space="preserve">Vishay CRCW0603 MASS = 2 mg</t>
        </is>
      </c>
      <c r="J10" t="inlineStr">
        <is>
          <t xml:space="preserve">R178890</t>
        </is>
      </c>
      <c r="K10" t="inlineStr">
        <is>
          <t xml:space="preserve">0.08</t>
        </is>
      </c>
      <c r="L10" t="inlineStr">
        <is>
          <t xml:space="preserve">In Stock</t>
        </is>
      </c>
      <c r="M10" t="inlineStr">
        <is>
          <t xml:space="preserve">https://robu-prod-media.s3.ap-south-1.amazonaws.com/uploads/2024/11/C163851.pdf</t>
        </is>
      </c>
      <c r="N10"/>
    </row>
    <row r="11">
      <c r="A11" t="inlineStr">
        <is>
          <t xml:space="preserve">MODULE</t>
        </is>
      </c>
      <c r="B11" t="inlineStr">
        <is>
          <t xml:space="preserve">U7</t>
        </is>
      </c>
      <c r="C11" t="inlineStr">
        <is>
          <t xml:space="preserve">nRF52840 (Seeed XIAO)</t>
        </is>
      </c>
      <c r="D11" t="inlineStr">
        <is>
          <t xml:space="preserve">1</t>
        </is>
      </c>
      <c r="E11" t="inlineStr">
        <is>
          <t xml:space="preserve">Seeed Studio XIAO BLE nRF52840</t>
        </is>
      </c>
      <c r="F11" t="inlineStr">
        <is>
          <t xml:space="preserve">21 x 17.8 mm</t>
        </is>
      </c>
      <c r="G11" t="inlineStr">
        <is>
          <t xml:space="preserve">8.0</t>
        </is>
      </c>
      <c r="H11" t="inlineStr">
        <is>
          <t xml:space="preserve">8.0</t>
        </is>
      </c>
      <c r="I11" t="inlineStr">
        <is>
          <t xml:space="preserve">Robu shipping weight 0.008 kg (board ~3 g)</t>
        </is>
      </c>
      <c r="J11" t="inlineStr">
        <is>
          <t xml:space="preserve">1201741</t>
        </is>
      </c>
      <c r="K11" t="inlineStr">
        <is>
          <t xml:space="preserve">1244.00</t>
        </is>
      </c>
      <c r="L11" t="inlineStr">
        <is>
          <t xml:space="preserve">Out of Stock</t>
        </is>
      </c>
      <c r="M11"/>
      <c r="N11"/>
    </row>
    <row r="12">
      <c r="A12" t="inlineStr">
        <is>
          <t xml:space="preserve">PCB</t>
        </is>
      </c>
      <c r="B12" t="inlineStr">
        <is>
          <t xml:space="preserve">PCB1</t>
        </is>
      </c>
      <c r="C12" t="inlineStr">
        <is>
          <t xml:space="preserve">Carrier PCB</t>
        </is>
      </c>
      <c r="D12" t="inlineStr">
        <is>
          <t xml:space="preserve">1</t>
        </is>
      </c>
      <c r="E12" t="inlineStr">
        <is>
          <t xml:space="preserve">27x27mm 1.6mm FR4</t>
        </is>
      </c>
      <c r="F12" t="inlineStr">
        <is>
          <t xml:space="preserve">2-layer, 14 XIAO pin holes + 8x M2</t>
        </is>
      </c>
      <c r="G12" t="inlineStr">
        <is>
          <t xml:space="preserve">2.16</t>
        </is>
      </c>
      <c r="H12" t="inlineStr">
        <is>
          <t xml:space="preserve">2.16</t>
        </is>
      </c>
      <c r="I12" t="inlineStr">
        <is>
          <t xml:space="preserve">computed: 2.7*2.7*0.16 cm3 x 1.85 g/cm3</t>
        </is>
      </c>
      <c r="J12"/>
      <c r="K12"/>
      <c r="L12" t="inlineStr">
        <is>
          <t xml:space="preserve">n/a</t>
        </is>
      </c>
      <c r="M12"/>
      <c r="N12" t="inlineStr">
        <is>
          <t xml:space="preserve">14 XIAO pin holes + 8 extra = 22 holes</t>
        </is>
      </c>
    </row>
    <row r="13">
      <c r="A13"/>
      <c r="B13"/>
      <c r="C13"/>
      <c r="D13"/>
      <c r="E13"/>
      <c r="F13"/>
      <c r="G13"/>
      <c r="H13"/>
      <c r="I13"/>
      <c r="J13"/>
      <c r="K13"/>
      <c r="L13"/>
      <c r="M13"/>
      <c r="N13"/>
    </row>
    <row r="14">
      <c r="A14"/>
      <c r="B14"/>
      <c r="C14"/>
      <c r="D14"/>
      <c r="E14"/>
      <c r="F14"/>
      <c r="G14"/>
      <c r="H14"/>
      <c r="I14"/>
      <c r="J14"/>
      <c r="K14"/>
      <c r="L14"/>
      <c r="M14"/>
      <c r="N14"/>
    </row>
    <row r="15">
      <c r="A15"/>
      <c r="B15"/>
      <c r="C15"/>
      <c r="D15"/>
      <c r="E15"/>
      <c r="F15"/>
      <c r="G15"/>
      <c r="H15"/>
      <c r="I15"/>
      <c r="J15"/>
      <c r="K15"/>
      <c r="L15"/>
      <c r="M15"/>
      <c r="N15"/>
    </row>
    <row r="16">
      <c r="A16"/>
      <c r="B16"/>
      <c r="C16"/>
      <c r="D16"/>
      <c r="E16"/>
      <c r="F16"/>
      <c r="G16"/>
      <c r="H16"/>
      <c r="I16"/>
      <c r="J16"/>
      <c r="K16"/>
      <c r="L16"/>
      <c r="M16"/>
      <c r="N16"/>
    </row>
    <row r="17">
      <c r="A17"/>
      <c r="B17"/>
      <c r="C17"/>
      <c r="D17"/>
      <c r="E17"/>
      <c r="F17"/>
      <c r="G17"/>
      <c r="H17"/>
      <c r="I17"/>
      <c r="J17"/>
      <c r="K17"/>
      <c r="L17"/>
      <c r="M17"/>
      <c r="N17"/>
    </row>
    <row r="18">
      <c r="A18"/>
      <c r="B18"/>
      <c r="C18"/>
      <c r="D18"/>
      <c r="E18"/>
      <c r="F18"/>
      <c r="G18"/>
      <c r="H18"/>
      <c r="I18"/>
      <c r="J18"/>
      <c r="K18"/>
      <c r="L18"/>
      <c r="M18"/>
      <c r="N18"/>
    </row>
    <row r="19">
      <c r="A19" t="inlineStr">
        <is>
          <t xml:space="preserve">PLACEHOLDER</t>
        </is>
      </c>
      <c r="B19" t="inlineStr">
        <is>
          <t xml:space="preserve">&lt;REF&gt;</t>
        </is>
      </c>
      <c r="C19" t="inlineStr">
        <is>
          <t xml:space="preserve">&lt;cat&gt;</t>
        </is>
      </c>
      <c r="D19" t="inlineStr">
        <is>
          <t xml:space="preserve">1</t>
        </is>
      </c>
      <c r="E19" t="inlineStr">
        <is>
          <t xml:space="preserve">&lt;value&gt;</t>
        </is>
      </c>
      <c r="F19" t="inlineStr">
        <is>
          <t xml:space="preserve">&lt;footprint&gt;</t>
        </is>
      </c>
      <c r="G19"/>
      <c r="H19" t="inlineStr">
        <is>
          <t xml:space="preserve">&lt;weight_g&gt;</t>
        </is>
      </c>
      <c r="I19" t="inlineStr">
        <is>
          <t xml:space="preserve">&lt;source&gt;</t>
        </is>
      </c>
      <c r="J19"/>
      <c r="K19"/>
      <c r="L19"/>
      <c r="M19"/>
      <c r="N19" t="inlineStr">
        <is>
          <t xml:space="preserve">Fill col C (category) and col G (weight); formulas pick rows up by C and G</t>
        </is>
      </c>
    </row>
    <row r="20">
      <c r="A20" t="inlineStr">
        <is>
          <t xml:space="preserve">ASSUMED</t>
        </is>
      </c>
      <c r="B20" t="inlineStr">
        <is>
          <t xml:space="preserve">U99</t>
        </is>
      </c>
      <c r="C20" t="inlineStr">
        <is>
          <t xml:space="preserve">Custom part (assumed)</t>
        </is>
      </c>
      <c r="D20" t="inlineStr">
        <is>
          <t xml:space="preserve">1</t>
        </is>
      </c>
      <c r="E20" t="inlineStr">
        <is>
          <t xml:space="preserve">ASSUMED-VALUE</t>
        </is>
      </c>
      <c r="F20" t="inlineStr">
        <is>
          <t xml:space="preserve">ASSUMED-FOOTPRINT</t>
        </is>
      </c>
      <c r="G20" t="inlineStr">
        <is>
          <t xml:space="preserve">1.5</t>
        </is>
      </c>
      <c r="H20" t="inlineStr">
        <is>
          <t xml:space="preserve">1.5</t>
        </is>
      </c>
      <c r="I20" t="inlineStr">
        <is>
          <t xml:space="preserve">assumed</t>
        </is>
      </c>
      <c r="J20"/>
      <c r="K20"/>
      <c r="L20"/>
      <c r="M20"/>
      <c r="N20" t="inlineStr">
        <is>
          <t xml:space="preserve">Example with assumed values; not counted in AUW until you move it up</t>
        </is>
      </c>
    </row>
    <row r="21">
      <c r="A21" t="inlineStr">
        <is>
          <t xml:space="preserve">INPUT</t>
        </is>
      </c>
      <c r="B21" t="inlineStr">
        <is>
          <t xml:space="preserve">BAT1</t>
        </is>
      </c>
      <c r="C21" t="inlineStr">
        <is>
          <t xml:space="preserve">Battery capacity</t>
        </is>
      </c>
      <c r="D21" t="inlineStr">
        <is>
          <t xml:space="preserve">1</t>
        </is>
      </c>
      <c r="E21" t="inlineStr">
        <is>
          <t xml:space="preserve">600</t>
        </is>
      </c>
      <c r="F21" t="inlineStr">
        <is>
          <t xml:space="preserve">mAh 1S LiPo</t>
        </is>
      </c>
      <c r="G21"/>
      <c r="H21">
        <f>E21*E22</f>
        <v>15</v>
      </c>
      <c r="I21" t="inlineStr">
        <is>
          <t xml:space="preserve">input: capacity in mAh</t>
        </is>
      </c>
      <c r="J21"/>
      <c r="K21"/>
      <c r="L21" t="inlineStr">
        <is>
          <t xml:space="preserve">n/a</t>
        </is>
      </c>
      <c r="M21"/>
      <c r="N21" t="inlineStr">
        <is>
          <t xml:space="preserve">Change E21 to any capacity; battery weight and AUW recompute</t>
        </is>
      </c>
    </row>
    <row r="22">
      <c r="A22" t="inlineStr">
        <is>
          <t xml:space="preserve">PARAM</t>
        </is>
      </c>
      <c r="B22" t="inlineStr">
        <is>
          <t xml:space="preserve">BAT_ELEM</t>
        </is>
      </c>
      <c r="C22" t="inlineStr">
        <is>
          <t xml:space="preserve">Battery weight element</t>
        </is>
      </c>
      <c r="D22" t="inlineStr">
        <is>
          <t xml:space="preserve">1</t>
        </is>
      </c>
      <c r="E22" t="inlineStr">
        <is>
          <t xml:space="preserve">0.025</t>
        </is>
      </c>
      <c r="F22" t="inlineStr">
        <is>
          <t xml:space="preserve">g/mAh</t>
        </is>
      </c>
      <c r="G22" t="inlineStr">
        <is>
          <t xml:space="preserve">0.025</t>
        </is>
      </c>
      <c r="H22" t="inlineStr">
        <is>
          <t xml:space="preserve">0.025</t>
        </is>
      </c>
      <c r="I22" t="inlineStr">
        <is>
          <t xml:space="preserve">~150 Wh/kg at 3.7V -&gt; 0.025 g/mAh</t>
        </is>
      </c>
      <c r="J22"/>
      <c r="K22"/>
      <c r="L22" t="inlineStr">
        <is>
          <t xml:space="preserve">n/a</t>
        </is>
      </c>
      <c r="M22"/>
      <c r="N22" t="inlineStr">
        <is>
          <t xml:space="preserve">Battery weight = E21 * E22</t>
        </is>
      </c>
    </row>
    <row r="23">
      <c r="A23" t="inlineStr">
        <is>
          <t xml:space="preserve">INPUT</t>
        </is>
      </c>
      <c r="B23" t="inlineStr">
        <is>
          <t xml:space="preserve">MOT1</t>
        </is>
      </c>
      <c r="C23" t="inlineStr">
        <is>
          <t xml:space="preserve">Motor</t>
        </is>
      </c>
      <c r="D23" t="inlineStr">
        <is>
          <t xml:space="preserve">4</t>
        </is>
      </c>
      <c r="E23" t="inlineStr">
        <is>
          <t xml:space="preserve">7x20 coreless (720)</t>
        </is>
      </c>
      <c r="F23" t="inlineStr">
        <is>
          <t xml:space="preserve">coreless brushed</t>
        </is>
      </c>
      <c r="G23" t="inlineStr">
        <is>
          <t xml:space="preserve">2.5</t>
        </is>
      </c>
      <c r="H23" t="inlineStr">
        <is>
          <t xml:space="preserve">10.0</t>
        </is>
      </c>
      <c r="I23" t="inlineStr">
        <is>
          <t xml:space="preserve">vendor typical</t>
        </is>
      </c>
      <c r="J23"/>
      <c r="K23"/>
      <c r="L23" t="inlineStr">
        <is>
          <t xml:space="preserve">n/a</t>
        </is>
      </c>
      <c r="M23"/>
      <c r="N23" t="inlineStr">
        <is>
          <t xml:space="preserve">Per-motor weight 2.5 g</t>
        </is>
      </c>
    </row>
    <row r="24">
      <c r="A24" t="inlineStr">
        <is>
          <t xml:space="preserve">INPUT</t>
        </is>
      </c>
      <c r="B24" t="inlineStr">
        <is>
          <t xml:space="preserve">PROP1</t>
        </is>
      </c>
      <c r="C24" t="inlineStr">
        <is>
          <t xml:space="preserve">Propeller</t>
        </is>
      </c>
      <c r="D24" t="inlineStr">
        <is>
          <t xml:space="preserve">4</t>
        </is>
      </c>
      <c r="E24" t="inlineStr">
        <is>
          <t xml:space="preserve">65mm 2-blade</t>
        </is>
      </c>
      <c r="F24" t="inlineStr">
        <is>
          <t xml:space="preserve">micro drone prop</t>
        </is>
      </c>
      <c r="G24" t="inlineStr">
        <is>
          <t xml:space="preserve">0.5</t>
        </is>
      </c>
      <c r="H24" t="inlineStr">
        <is>
          <t xml:space="preserve">2.0</t>
        </is>
      </c>
      <c r="I24" t="inlineStr">
        <is>
          <t xml:space="preserve">typical</t>
        </is>
      </c>
      <c r="J24"/>
      <c r="K24"/>
      <c r="L24" t="inlineStr">
        <is>
          <t xml:space="preserve">n/a</t>
        </is>
      </c>
      <c r="M24"/>
      <c r="N24"/>
    </row>
    <row r="25">
      <c r="A25" t="inlineStr">
        <is>
          <t xml:space="preserve">CALC</t>
        </is>
      </c>
      <c r="B25" t="inlineStr">
        <is>
          <t xml:space="preserve">AUW</t>
        </is>
      </c>
      <c r="C25" t="inlineStr">
        <is>
          <t xml:space="preserve">Total flying weight</t>
        </is>
      </c>
      <c r="D25" t="inlineStr">
        <is>
          <t xml:space="preserve">1</t>
        </is>
      </c>
      <c r="E25" t="inlineStr">
        <is>
          <t xml:space="preserve">AUW (g)</t>
        </is>
      </c>
      <c r="F25"/>
      <c r="G25"/>
      <c r="H25">
        <f>H2+H3+H4+H6+H7+H8+H9+H10+H11+H12+H23+H24+(E21*E22)</f>
        <v>37.447</v>
      </c>
      <c r="I25" t="inlineStr">
        <is>
          <t xml:space="preserve">computed: components (no DNP) + module + PCB + motors + props + battery</t>
        </is>
      </c>
      <c r="J25"/>
      <c r="K25"/>
      <c r="L25" t="inlineStr">
        <is>
          <t xml:space="preserve">n/a</t>
        </is>
      </c>
      <c r="M25"/>
      <c r="N25" t="inlineStr">
        <is>
          <t xml:space="preserve">Excludes J1 (DNP) and the ASSUMED row; add a frame/wire row if needed</t>
        </is>
      </c>
    </row>
    <row r="26">
      <c r="A26" t="inlineStr">
        <is>
          <t xml:space="preserve">PARAM</t>
        </is>
      </c>
      <c r="B26" t="inlineStr">
        <is>
          <t xml:space="preserve">MOT_TMAX</t>
        </is>
      </c>
      <c r="C26" t="inlineStr">
        <is>
          <t xml:space="preserve">Motor max thrust</t>
        </is>
      </c>
      <c r="D26" t="inlineStr">
        <is>
          <t xml:space="preserve">1</t>
        </is>
      </c>
      <c r="E26" t="inlineStr">
        <is>
          <t xml:space="preserve">28</t>
        </is>
      </c>
      <c r="F26" t="inlineStr">
        <is>
          <t xml:space="preserve">g</t>
        </is>
      </c>
      <c r="G26"/>
      <c r="H26"/>
      <c r="I26" t="inlineStr">
        <is>
          <t xml:space="preserve">vendor typical</t>
        </is>
      </c>
      <c r="J26"/>
      <c r="K26"/>
      <c r="L26" t="inlineStr">
        <is>
          <t xml:space="preserve">n/a</t>
        </is>
      </c>
      <c r="M26"/>
      <c r="N26" t="inlineStr">
        <is>
          <t xml:space="preserve">720 + 65mm prop</t>
        </is>
      </c>
    </row>
    <row r="27">
      <c r="A27" t="inlineStr">
        <is>
          <t xml:space="preserve">PARAM</t>
        </is>
      </c>
      <c r="B27" t="inlineStr">
        <is>
          <t xml:space="preserve">MOT_IMAX</t>
        </is>
      </c>
      <c r="C27" t="inlineStr">
        <is>
          <t xml:space="preserve">Motor max current</t>
        </is>
      </c>
      <c r="D27" t="inlineStr">
        <is>
          <t xml:space="preserve">1</t>
        </is>
      </c>
      <c r="E27" t="inlineStr">
        <is>
          <t xml:space="preserve">1.7</t>
        </is>
      </c>
      <c r="F27" t="inlineStr">
        <is>
          <t xml:space="preserve">A</t>
        </is>
      </c>
      <c r="G27"/>
      <c r="H27"/>
      <c r="I27" t="inlineStr">
        <is>
          <t xml:space="preserve">vendor typical</t>
        </is>
      </c>
      <c r="J27"/>
      <c r="K27"/>
      <c r="L27" t="inlineStr">
        <is>
          <t xml:space="preserve">n/a</t>
        </is>
      </c>
      <c r="M27"/>
      <c r="N27"/>
    </row>
    <row r="28">
      <c r="A28" t="inlineStr">
        <is>
          <t xml:space="preserve">PARAM</t>
        </is>
      </c>
      <c r="B28" t="inlineStr">
        <is>
          <t xml:space="preserve">P_HOVER</t>
        </is>
      </c>
      <c r="C28" t="inlineStr">
        <is>
          <t xml:space="preserve">Hover specific power</t>
        </is>
      </c>
      <c r="D28" t="inlineStr">
        <is>
          <t xml:space="preserve">1</t>
        </is>
      </c>
      <c r="E28" t="inlineStr">
        <is>
          <t xml:space="preserve">0.3</t>
        </is>
      </c>
      <c r="F28" t="inlineStr">
        <is>
          <t xml:space="preserve">W/g</t>
        </is>
      </c>
      <c r="G28"/>
      <c r="H28"/>
      <c r="I28" t="inlineStr">
        <is>
          <t xml:space="preserve">micro-quad typical 0.25-0.35 W/g</t>
        </is>
      </c>
      <c r="J28"/>
      <c r="K28"/>
      <c r="L28" t="inlineStr">
        <is>
          <t xml:space="preserve">n/a</t>
        </is>
      </c>
      <c r="M28"/>
      <c r="N28"/>
    </row>
    <row r="29">
      <c r="A29" t="inlineStr">
        <is>
          <t xml:space="preserve">PARAM</t>
        </is>
      </c>
      <c r="B29" t="inlineStr">
        <is>
          <t xml:space="preserve">V_NOM</t>
        </is>
      </c>
      <c r="C29" t="inlineStr">
        <is>
          <t xml:space="preserve">Battery nominal voltage</t>
        </is>
      </c>
      <c r="D29" t="inlineStr">
        <is>
          <t xml:space="preserve">1</t>
        </is>
      </c>
      <c r="E29" t="inlineStr">
        <is>
          <t xml:space="preserve">3.7</t>
        </is>
      </c>
      <c r="F29" t="inlineStr">
        <is>
          <t xml:space="preserve">V</t>
        </is>
      </c>
      <c r="G29"/>
      <c r="H29"/>
      <c r="I29" t="inlineStr">
        <is>
          <t xml:space="preserve">1S LiPo</t>
        </is>
      </c>
      <c r="J29"/>
      <c r="K29"/>
      <c r="L29" t="inlineStr">
        <is>
          <t xml:space="preserve">n/a</t>
        </is>
      </c>
      <c r="M29"/>
      <c r="N29"/>
    </row>
    <row r="30">
      <c r="A30" t="inlineStr">
        <is>
          <t xml:space="preserve">PARAM</t>
        </is>
      </c>
      <c r="B30" t="inlineStr">
        <is>
          <t xml:space="preserve">DOD</t>
        </is>
      </c>
      <c r="C30" t="inlineStr">
        <is>
          <t xml:space="preserve">Usable depth of discharge</t>
        </is>
      </c>
      <c r="D30" t="inlineStr">
        <is>
          <t xml:space="preserve">1</t>
        </is>
      </c>
      <c r="E30" t="inlineStr">
        <is>
          <t xml:space="preserve">0.8</t>
        </is>
      </c>
      <c r="F30"/>
      <c r="G30"/>
      <c r="H30"/>
      <c r="I30" t="inlineStr">
        <is>
          <t xml:space="preserve">leave 20% in the pack</t>
        </is>
      </c>
      <c r="J30"/>
      <c r="K30"/>
      <c r="L30" t="inlineStr">
        <is>
          <t xml:space="preserve">n/a</t>
        </is>
      </c>
      <c r="M30"/>
      <c r="N30"/>
    </row>
    <row r="31">
      <c r="A31" t="inlineStr">
        <is>
          <t xml:space="preserve">CALC</t>
        </is>
      </c>
      <c r="B31" t="inlineStr">
        <is>
          <t xml:space="preserve">TW</t>
        </is>
      </c>
      <c r="C31" t="inlineStr">
        <is>
          <t xml:space="preserve">Thrust / weight</t>
        </is>
      </c>
      <c r="D31"/>
      <c r="E31" t="inlineStr">
        <is>
          <t xml:space="preserve">x</t>
        </is>
      </c>
      <c r="F31"/>
      <c r="G31"/>
      <c r="H31">
        <f>4*E26/H25</f>
        <v>2.9908</v>
      </c>
      <c r="I31">
        <f>4 motors x max thrust / AUW</f>
      </c>
      <c r="J31"/>
      <c r="K31"/>
      <c r="L31" t="inlineStr">
        <is>
          <t xml:space="preserve">n/a</t>
        </is>
      </c>
      <c r="M31"/>
      <c r="N31"/>
    </row>
    <row r="32">
      <c r="A32" t="inlineStr">
        <is>
          <t xml:space="preserve">CALC</t>
        </is>
      </c>
      <c r="B32" t="inlineStr">
        <is>
          <t xml:space="preserve">HOVER_P</t>
        </is>
      </c>
      <c r="C32" t="inlineStr">
        <is>
          <t xml:space="preserve">Hover power</t>
        </is>
      </c>
      <c r="D32" t="inlineStr">
        <is>
          <t xml:space="preserve">1</t>
        </is>
      </c>
      <c r="E32" t="inlineStr">
        <is>
          <t xml:space="preserve">W</t>
        </is>
      </c>
      <c r="F32"/>
      <c r="G32"/>
      <c r="H32">
        <f>H25*E28</f>
        <v>11.2341</v>
      </c>
      <c r="I32">
        <f>AUW x specific power</f>
      </c>
      <c r="J32"/>
      <c r="K32"/>
      <c r="L32" t="inlineStr">
        <is>
          <t xml:space="preserve">n/a</t>
        </is>
      </c>
      <c r="M32"/>
      <c r="N32"/>
    </row>
    <row r="33">
      <c r="A33" t="inlineStr">
        <is>
          <t xml:space="preserve">CALC</t>
        </is>
      </c>
      <c r="B33" t="inlineStr">
        <is>
          <t xml:space="preserve">FLY_HOVER</t>
        </is>
      </c>
      <c r="C33" t="inlineStr">
        <is>
          <t xml:space="preserve">Flight time (hover)</t>
        </is>
      </c>
      <c r="D33" t="inlineStr">
        <is>
          <t xml:space="preserve">1</t>
        </is>
      </c>
      <c r="E33" t="inlineStr">
        <is>
          <t xml:space="preserve">min</t>
        </is>
      </c>
      <c r="F33"/>
      <c r="G33"/>
      <c r="H33">
        <f>E21/1000*E29*E30/H32*60</f>
        <v>9.4854</v>
      </c>
      <c r="I33">
        <f>mAh/1000 x V x DoD / hover power x 60</f>
      </c>
      <c r="J33"/>
      <c r="K33"/>
      <c r="L33" t="inlineStr">
        <is>
          <t xml:space="preserve">n/a</t>
        </is>
      </c>
      <c r="M33"/>
      <c r="N33"/>
    </row>
    <row r="34">
      <c r="A34" t="inlineStr">
        <is>
          <t xml:space="preserve">CALC</t>
        </is>
      </c>
      <c r="B34" t="inlineStr">
        <is>
          <t xml:space="preserve">FLY_MIXED</t>
        </is>
      </c>
      <c r="C34" t="inlineStr">
        <is>
          <t xml:space="preserve">Flight time (mixed)</t>
        </is>
      </c>
      <c r="D34" t="inlineStr">
        <is>
          <t xml:space="preserve">1</t>
        </is>
      </c>
      <c r="E34" t="inlineStr">
        <is>
          <t xml:space="preserve">min</t>
        </is>
      </c>
      <c r="F34"/>
      <c r="G34"/>
      <c r="H34">
        <f>H33/1.5</f>
        <v>6.3236</v>
      </c>
      <c r="I34" t="inlineStr">
        <is>
          <t xml:space="preserve">hover / 1.5 for normal flying</t>
        </is>
      </c>
      <c r="J34"/>
      <c r="K34"/>
      <c r="L34" t="inlineStr">
        <is>
          <t xml:space="preserve">n/a</t>
        </is>
      </c>
      <c r="M34"/>
      <c r="N34"/>
    </row>
    <row r="35">
      <c r="A35" t="inlineStr">
        <is>
          <t xml:space="preserve">INPUT</t>
        </is>
      </c>
      <c r="B35" t="inlineStr">
        <is>
          <t xml:space="preserve">BUDGET</t>
        </is>
      </c>
      <c r="C35" t="inlineStr">
        <is>
          <t xml:space="preserve">Budget</t>
        </is>
      </c>
      <c r="D35" t="inlineStr">
        <is>
          <t xml:space="preserve">1</t>
        </is>
      </c>
      <c r="E35" t="inlineStr">
        <is>
          <t xml:space="preserve">5000</t>
        </is>
      </c>
      <c r="F35" t="inlineStr">
        <is>
          <t xml:space="preserve">INR</t>
        </is>
      </c>
      <c r="G35"/>
      <c r="H35"/>
      <c r="I35" t="inlineStr">
        <is>
          <t xml:space="preserve">input</t>
        </is>
      </c>
      <c r="J35"/>
      <c r="K35"/>
      <c r="L35" t="inlineStr">
        <is>
          <t xml:space="preserve">n/a</t>
        </is>
      </c>
      <c r="M35"/>
      <c r="N35" t="inlineStr">
        <is>
          <t xml:space="preserve">Cell E35 = total budget (kept out of the price column so it is not counted as a cost)</t>
        </is>
      </c>
    </row>
  </sheetData>
</worksheet>
</file>

<file path=xl/worksheets/sheet2.xml><?xml version="1.0" encoding="utf-8"?>
<worksheet xmlns="http://schemas.openxmlformats.org/spreadsheetml/2006/main">
  <sheetData>
    <row r="1">
      <c r="A1" s="1" t="inlineStr">
        <is>
          <t xml:space="preserve">Total budget (INR)</t>
        </is>
      </c>
      <c r="B1" s="1">
        <f>BOM!E35</f>
      </c>
    </row>
    <row r="2">
      <c r="A2" t="inlineStr">
        <is>
          <t xml:space="preserve">BOM cost (INR)</t>
        </is>
      </c>
      <c r="B2">
        <f>SUMPRODUCT(BOM!D2:D100,BOM!K2:K100)</f>
        <v>1362.06</v>
      </c>
    </row>
    <row r="3">
      <c r="A3" t="inlineStr">
        <is>
          <t xml:space="preserve">Remaining budget (INR)</t>
        </is>
      </c>
      <c r="B3">
        <f>BOM!E35-SUMPRODUCT(BOM!D2:D100,BOM!K2:K100)</f>
        <v>3637.94</v>
      </c>
    </row>
    <row r="4">
      <c r="A4" t="inlineStr">
        <is>
          <t xml:space="preserve">Total weight (g)</t>
        </is>
      </c>
      <c r="B4">
        <f>SUM(BOM!H2:H100)</f>
        <v>39.547</v>
      </c>
    </row>
  </sheetData>
</worksheet>
</file>